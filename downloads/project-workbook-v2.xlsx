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1ad57fd33044a1" /></Relationships>
</file>

<file path=xl/workbook.xml><?xml version="1.0" encoding="utf-8"?>
<x:workbook xmlns:x="http://schemas.openxmlformats.org/spreadsheetml/2006/main">
  <x:sheets>
    <x:sheet xmlns:r="http://schemas.openxmlformats.org/officeDocument/2006/relationships" name="ابدأ هنا" sheetId="1" r:id="Rf0ba7ed7e8a84e87"/>
    <x:sheet xmlns:r="http://schemas.openxmlformats.org/officeDocument/2006/relationships" name="بطاقة الفكرة" sheetId="2" r:id="Rdb3238bb5f154ef1"/>
    <x:sheet xmlns:r="http://schemas.openxmlformats.org/officeDocument/2006/relationships" name="مراجعة قبل البدء" sheetId="3" r:id="R7dda018b54fc4d8d"/>
    <x:sheet xmlns:r="http://schemas.openxmlformats.org/officeDocument/2006/relationships" name="فحص الجاهزية" sheetId="4" r:id="R8b56fbed406b48ec"/>
    <x:sheet xmlns:r="http://schemas.openxmlformats.org/officeDocument/2006/relationships" name="توثيق المعلومات" sheetId="5" r:id="Rad8fa2c564c740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quot; / 100&quot;"/>
    <x:numFmt numFmtId="202" formatCode="0.0"/>
    <x:numFmt numFmtId="203" formatCode="yyyy-mm-dd"/>
  </x:numFmts>
  <x:fonts count="12">
    <x:font>
      <x:sz val="11"/>
      <x:name val="Carlito"/>
    </x:font>
    <x:font>
      <x:b/>
      <x:sz val="18"/>
      <x:color rgb="FFFFFFFF"/>
      <x:name val="Cairo"/>
    </x:font>
    <x:font>
      <x:sz val="10"/>
      <x:color rgb="FF52625C"/>
      <x:name val="Cairo"/>
    </x:font>
    <x:font>
      <x:b/>
      <x:sz val="13"/>
      <x:color rgb="FF6F5514"/>
      <x:name val="Cairo"/>
    </x:font>
    <x:font>
      <x:sz val="10"/>
      <x:color rgb="FF273C34"/>
      <x:name val="Cairo"/>
    </x:font>
    <x:font>
      <x:b/>
      <x:sz val="11"/>
      <x:color rgb="FF123C33"/>
      <x:name val="Cairo"/>
    </x:font>
    <x:font>
      <x:b/>
      <x:sz val="10"/>
      <x:color rgb="FF765B16"/>
      <x:name val="Cairo"/>
    </x:font>
    <x:font>
      <x:b/>
      <x:sz val="11"/>
      <x:color rgb="FF8B3E2F"/>
      <x:name val="Cairo"/>
    </x:font>
    <x:font>
      <x:b/>
      <x:sz val="10"/>
      <x:color rgb="FF123C33"/>
      <x:name val="Cairo"/>
    </x:font>
    <x:font>
      <x:b/>
      <x:sz val="12"/>
      <x:color rgb="FF123C33"/>
      <x:name val="Cairo"/>
    </x:font>
    <x:font>
      <x:sz val="9"/>
      <x:color rgb="FF52625C"/>
      <x:name val="Cairo"/>
    </x:font>
    <x:font>
      <x:sz val="9"/>
      <x:color rgb="FF5B4B20"/>
      <x:name val="Cairo"/>
    </x:font>
  </x:fonts>
  <x:fills count="12">
    <x:fill>
      <x:patternFill patternType="none"/>
    </x:fill>
    <x:fill>
      <x:patternFill patternType="gray125"/>
    </x:fill>
    <x:fill>
      <x:patternFill patternType="solid">
        <x:fgColor rgb="FF0F5B4B"/>
      </x:patternFill>
    </x:fill>
    <x:fill>
      <x:patternFill patternType="solid">
        <x:fgColor rgb="FFF7FAF8"/>
      </x:patternFill>
    </x:fill>
    <x:fill>
      <x:patternFill patternType="solid">
        <x:fgColor rgb="FFFBF6E8"/>
      </x:patternFill>
    </x:fill>
    <x:fill>
      <x:patternFill patternType="solid">
        <x:fgColor rgb="FFEEF5F2"/>
      </x:patternFill>
    </x:fill>
    <x:fill>
      <x:patternFill patternType="solid">
        <x:fgColor rgb="FFFDF3F1"/>
      </x:patternFill>
    </x:fill>
    <x:fill>
      <x:patternFill patternType="solid">
        <x:fgColor rgb="FFFFF9F7"/>
      </x:patternFill>
    </x:fill>
    <x:fill>
      <x:patternFill patternType="solid">
        <x:fgColor rgb="FF0F5B4B"/>
      </x:patternFill>
    </x:fill>
    <x:fill>
      <x:patternFill patternType="solid">
        <x:fgColor rgb="FFF7FAF8"/>
      </x:patternFill>
    </x:fill>
    <x:fill>
      <x:patternFill patternType="solid">
        <x:fgColor rgb="FFEEF5F2"/>
      </x:patternFill>
    </x:fill>
    <x:fill>
      <x:patternFill patternType="solid">
        <x:fgColor rgb="FFFBF6E8"/>
      </x:patternFill>
    </x:fill>
  </x:fills>
  <x:borders count="32">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right"/>
    </x:xf>
    <x:xf numFmtId="0" fontId="1" fillId="2" borderId="1" xfId="0" applyNumberFormat="1" applyFont="1" applyFill="1" applyBorder="1" applyAlignment="1">
      <x:alignment horizontal="righ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0" fontId="3" fillId="4" borderId="0" xfId="0" applyNumberFormat="1" applyFont="1" applyFill="1" applyBorder="1" applyAlignment="1">
      <x:alignment horizontal="righ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right"/>
    </x:xf>
    <x:xf numFmtId="0" fontId="3" fillId="4" borderId="1" xfId="0" applyNumberFormat="1" applyFont="1" applyFill="1" applyBorder="1" applyAlignment="1">
      <x:alignment horizontal="right" vertic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2" xfId="0" applyNumberFormat="1" applyFont="1" applyFill="1" applyBorder="1" applyAlignment="1">
      <x:alignment horizontal="right" wrapText="1"/>
    </x:xf>
    <x:xf numFmtId="0" fontId="4" fillId="0" borderId="3" xfId="0" applyNumberFormat="1" applyFont="1" applyFill="1" applyBorder="1" applyAlignment="1">
      <x:alignment horizontal="right" wrapText="1"/>
    </x:xf>
    <x:xf numFmtId="0" fontId="4" fillId="0" borderId="4" xfId="0" applyNumberFormat="1" applyFont="1" applyFill="1" applyBorder="1" applyAlignment="1">
      <x:alignment horizontal="right" wrapText="1"/>
    </x:xf>
    <x:xf numFmtId="0" fontId="4" fillId="0" borderId="5" xfId="0" applyNumberFormat="1" applyFont="1" applyFill="1" applyBorder="1" applyAlignment="1">
      <x:alignment horizontal="right" wrapText="1"/>
    </x:xf>
    <x:xf numFmtId="0" fontId="4" fillId="0" borderId="0" xfId="0" applyNumberFormat="1" applyFont="1" applyFill="1" applyBorder="1" applyAlignment="1">
      <x:alignment horizontal="right" wrapText="1"/>
    </x:xf>
    <x:xf numFmtId="0" fontId="4" fillId="0" borderId="6" xfId="0" applyNumberFormat="1" applyFont="1" applyFill="1" applyBorder="1" applyAlignment="1">
      <x:alignment horizontal="right" wrapText="1"/>
    </x:xf>
    <x:xf numFmtId="0" fontId="4" fillId="0" borderId="7" xfId="0" applyNumberFormat="1" applyFont="1" applyFill="1" applyBorder="1" applyAlignment="1">
      <x:alignment horizontal="right" wrapText="1"/>
    </x:xf>
    <x:xf numFmtId="0" fontId="4" fillId="0" borderId="8" xfId="0" applyNumberFormat="1" applyFont="1" applyFill="1" applyBorder="1" applyAlignment="1">
      <x:alignment horizontal="right" wrapText="1"/>
    </x:xf>
    <x:xf numFmtId="0" fontId="4" fillId="0" borderId="9" xfId="0" applyNumberFormat="1" applyFont="1" applyFill="1" applyBorder="1" applyAlignment="1">
      <x:alignment horizontal="right" wrapText="1"/>
    </x:xf>
    <x:xf numFmtId="0" fontId="4" fillId="0" borderId="2" xfId="0" applyNumberFormat="1" applyFont="1" applyFill="1" applyBorder="1" applyAlignment="1">
      <x:alignment horizontal="right" vertical="center" wrapText="1"/>
    </x:xf>
    <x:xf numFmtId="0" fontId="4" fillId="0" borderId="3" xfId="0" applyNumberFormat="1" applyFont="1" applyFill="1" applyBorder="1" applyAlignment="1">
      <x:alignment horizontal="right" vertical="center" wrapText="1"/>
    </x:xf>
    <x:xf numFmtId="0" fontId="4" fillId="0" borderId="4" xfId="0" applyNumberFormat="1" applyFont="1" applyFill="1" applyBorder="1" applyAlignment="1">
      <x:alignment horizontal="right" vertical="center" wrapText="1"/>
    </x:xf>
    <x:xf numFmtId="0" fontId="4" fillId="0" borderId="5" xfId="0" applyNumberFormat="1" applyFont="1" applyFill="1" applyBorder="1" applyAlignment="1">
      <x:alignment horizontal="right" vertical="center" wrapText="1"/>
    </x:xf>
    <x:xf numFmtId="0" fontId="4" fillId="0" borderId="0" xfId="0" applyNumberFormat="1" applyFont="1" applyFill="1" applyBorder="1" applyAlignment="1">
      <x:alignment horizontal="right" vertical="center" wrapText="1"/>
    </x:xf>
    <x:xf numFmtId="0" fontId="4" fillId="0" borderId="6" xfId="0" applyNumberFormat="1" applyFont="1" applyFill="1" applyBorder="1" applyAlignment="1">
      <x:alignment horizontal="right" vertical="center" wrapText="1"/>
    </x:xf>
    <x:xf numFmtId="0" fontId="4" fillId="0" borderId="7" xfId="0" applyNumberFormat="1" applyFont="1" applyFill="1" applyBorder="1" applyAlignment="1">
      <x:alignment horizontal="right" vertical="center" wrapText="1"/>
    </x:xf>
    <x:xf numFmtId="0" fontId="4" fillId="0" borderId="8" xfId="0" applyNumberFormat="1" applyFont="1" applyFill="1" applyBorder="1" applyAlignment="1">
      <x:alignment horizontal="right" vertical="center" wrapText="1"/>
    </x:xf>
    <x:xf numFmtId="0" fontId="4" fillId="0" borderId="9" xfId="0" applyNumberFormat="1" applyFont="1" applyFill="1" applyBorder="1" applyAlignment="1">
      <x:alignment horizontal="right" vertical="center" wrapText="1"/>
    </x:xf>
    <x:xf numFmtId="0" fontId="4" fillId="0" borderId="1"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0" xfId="0" applyNumberFormat="1" applyFont="1" applyFill="1" applyBorder="1" applyAlignment="1">
      <x:alignment horizontal="right" wrapText="1"/>
    </x:xf>
    <x:xf numFmtId="0" fontId="4" fillId="0" borderId="11" xfId="0" applyNumberFormat="1" applyFont="1" applyFill="1" applyBorder="1" applyAlignment="1">
      <x:alignment horizontal="right" wrapText="1"/>
    </x:xf>
    <x:xf numFmtId="0" fontId="4" fillId="0" borderId="12" xfId="0" applyNumberFormat="1" applyFont="1" applyFill="1" applyBorder="1" applyAlignment="1">
      <x:alignment horizontal="right" wrapText="1"/>
    </x:xf>
    <x:xf numFmtId="0" fontId="4" fillId="0" borderId="13" xfId="0" applyNumberFormat="1" applyFont="1" applyFill="1" applyBorder="1" applyAlignment="1">
      <x:alignment horizontal="right" wrapText="1"/>
    </x:xf>
    <x:xf numFmtId="0" fontId="4" fillId="0" borderId="1" xfId="0" applyNumberFormat="1" applyFont="1" applyFill="1" applyBorder="1" applyAlignment="1">
      <x:alignment horizontal="right" wrapText="1"/>
    </x:xf>
    <x:xf numFmtId="0" fontId="4" fillId="0" borderId="14" xfId="0" applyNumberFormat="1" applyFont="1" applyFill="1" applyBorder="1" applyAlignment="1">
      <x:alignment horizontal="right" wrapText="1"/>
    </x:xf>
    <x:xf numFmtId="0" fontId="4" fillId="0" borderId="15" xfId="0" applyNumberFormat="1" applyFont="1" applyFill="1" applyBorder="1" applyAlignment="1">
      <x:alignment horizontal="right" wrapText="1"/>
    </x:xf>
    <x:xf numFmtId="0" fontId="4" fillId="0" borderId="16" xfId="0" applyNumberFormat="1" applyFont="1" applyFill="1" applyBorder="1" applyAlignment="1">
      <x:alignment horizontal="right" wrapText="1"/>
    </x:xf>
    <x:xf numFmtId="0" fontId="4" fillId="0" borderId="17" xfId="0" applyNumberFormat="1" applyFont="1" applyFill="1" applyBorder="1" applyAlignment="1">
      <x:alignment horizontal="right" wrapText="1"/>
    </x:xf>
    <x:xf numFmtId="0" fontId="4" fillId="0" borderId="10" xfId="0" applyNumberFormat="1" applyFont="1" applyFill="1" applyBorder="1" applyAlignment="1">
      <x:alignment horizontal="right" vertical="center" wrapText="1"/>
    </x:xf>
    <x:xf numFmtId="0" fontId="4" fillId="0" borderId="11" xfId="0" applyNumberFormat="1" applyFont="1" applyFill="1" applyBorder="1" applyAlignment="1">
      <x:alignment horizontal="right" vertical="center" wrapText="1"/>
    </x:xf>
    <x:xf numFmtId="0" fontId="4" fillId="0" borderId="12" xfId="0" applyNumberFormat="1" applyFont="1" applyFill="1" applyBorder="1" applyAlignment="1">
      <x:alignment horizontal="right" vertical="center" wrapText="1"/>
    </x:xf>
    <x:xf numFmtId="0" fontId="4" fillId="0" borderId="13" xfId="0" applyNumberFormat="1" applyFont="1" applyFill="1" applyBorder="1" applyAlignment="1">
      <x:alignment horizontal="right" vertical="center" wrapText="1"/>
    </x:xf>
    <x:xf numFmtId="0" fontId="4" fillId="0" borderId="1" xfId="0" applyNumberFormat="1" applyFont="1" applyFill="1" applyBorder="1" applyAlignment="1">
      <x:alignment horizontal="right" vertical="center" wrapText="1"/>
    </x:xf>
    <x:xf numFmtId="0" fontId="4" fillId="0" borderId="14" xfId="0" applyNumberFormat="1" applyFont="1" applyFill="1" applyBorder="1" applyAlignment="1">
      <x:alignment horizontal="right" vertical="center" wrapText="1"/>
    </x:xf>
    <x:xf numFmtId="0" fontId="4" fillId="0" borderId="15" xfId="0" applyNumberFormat="1" applyFont="1" applyFill="1" applyBorder="1" applyAlignment="1">
      <x:alignment horizontal="right" vertical="center" wrapText="1"/>
    </x:xf>
    <x:xf numFmtId="0" fontId="4" fillId="0" borderId="16" xfId="0" applyNumberFormat="1" applyFont="1" applyFill="1" applyBorder="1" applyAlignment="1">
      <x:alignment horizontal="right" vertical="center" wrapText="1"/>
    </x:xf>
    <x:xf numFmtId="0" fontId="4" fillId="0" borderId="17" xfId="0" applyNumberFormat="1" applyFont="1" applyFill="1" applyBorder="1" applyAlignment="1">
      <x:alignment horizontal="right" vertical="center" wrapText="1"/>
    </x:xf>
    <x:xf numFmtId="0" fontId="5" fillId="0" borderId="2" xfId="0" applyNumberFormat="1" applyFont="1" applyFill="1" applyBorder="1" applyAlignment="1">
      <x:alignment horizontal="right" vertical="center" wrapText="1"/>
    </x:xf>
    <x:xf numFmtId="0" fontId="5" fillId="0" borderId="5" xfId="0" applyNumberFormat="1" applyFont="1" applyFill="1" applyBorder="1" applyAlignment="1">
      <x:alignment horizontal="right" vertical="center" wrapText="1"/>
    </x:xf>
    <x:xf numFmtId="0" fontId="5" fillId="0" borderId="7" xfId="0" applyNumberFormat="1" applyFont="1" applyFill="1" applyBorder="1" applyAlignment="1">
      <x:alignment horizontal="right" vertical="center" wrapText="1"/>
    </x:xf>
    <x:xf numFmtId="0" fontId="5" fillId="0" borderId="10" xfId="0" applyNumberFormat="1" applyFont="1" applyFill="1" applyBorder="1" applyAlignment="1">
      <x:alignment horizontal="right" vertical="center" wrapText="1"/>
    </x:xf>
    <x:xf numFmtId="0" fontId="5" fillId="0" borderId="13" xfId="0" applyNumberFormat="1" applyFont="1" applyFill="1" applyBorder="1" applyAlignment="1">
      <x:alignment horizontal="right" vertical="center" wrapText="1"/>
    </x:xf>
    <x:xf numFmtId="0" fontId="5" fillId="0" borderId="15" xfId="0" applyNumberFormat="1" applyFont="1" applyFill="1" applyBorder="1" applyAlignment="1">
      <x:alignment horizontal="right" vertical="center" wrapText="1"/>
    </x:xf>
    <x:xf numFmtId="0" fontId="5" fillId="5" borderId="2" xfId="0" applyNumberFormat="1" applyFont="1" applyFill="1" applyBorder="1" applyAlignment="1">
      <x:alignment horizontal="right" vertical="center" wrapText="1"/>
    </x:xf>
    <x:xf numFmtId="0" fontId="5" fillId="5" borderId="5" xfId="0" applyNumberFormat="1" applyFont="1" applyFill="1" applyBorder="1" applyAlignment="1">
      <x:alignment horizontal="right" vertical="center" wrapText="1"/>
    </x:xf>
    <x:xf numFmtId="0" fontId="5" fillId="5" borderId="7" xfId="0" applyNumberFormat="1" applyFont="1" applyFill="1" applyBorder="1" applyAlignment="1">
      <x:alignment horizontal="right" vertical="center" wrapText="1"/>
    </x:xf>
    <x:xf numFmtId="0" fontId="5" fillId="5" borderId="10" xfId="0" applyNumberFormat="1" applyFont="1" applyFill="1" applyBorder="1" applyAlignment="1">
      <x:alignment horizontal="right" vertical="center" wrapText="1"/>
    </x:xf>
    <x:xf numFmtId="0" fontId="5" fillId="5" borderId="13" xfId="0" applyNumberFormat="1" applyFont="1" applyFill="1" applyBorder="1" applyAlignment="1">
      <x:alignment horizontal="right" vertical="center" wrapText="1"/>
    </x:xf>
    <x:xf numFmtId="0" fontId="5" fillId="5" borderId="15" xfId="0" applyNumberFormat="1" applyFont="1" applyFill="1" applyBorder="1" applyAlignment="1">
      <x:alignment horizontal="right" vertical="center" wrapText="1"/>
    </x:xf>
    <x:xf numFmtId="0" fontId="6" fillId="0" borderId="4" xfId="0" applyNumberFormat="1" applyFont="1" applyFill="1" applyBorder="1" applyAlignment="1">
      <x:alignment horizontal="right" vertical="center" wrapText="1"/>
    </x:xf>
    <x:xf numFmtId="0" fontId="6" fillId="0" borderId="6" xfId="0" applyNumberFormat="1" applyFont="1" applyFill="1" applyBorder="1" applyAlignment="1">
      <x:alignment horizontal="right" vertical="center" wrapText="1"/>
    </x:xf>
    <x:xf numFmtId="0" fontId="6" fillId="0" borderId="9" xfId="0" applyNumberFormat="1" applyFont="1" applyFill="1" applyBorder="1" applyAlignment="1">
      <x:alignment horizontal="right" vertical="center" wrapText="1"/>
    </x:xf>
    <x:xf numFmtId="0" fontId="6" fillId="0" borderId="12" xfId="0" applyNumberFormat="1" applyFont="1" applyFill="1" applyBorder="1" applyAlignment="1">
      <x:alignment horizontal="right" vertical="center" wrapText="1"/>
    </x:xf>
    <x:xf numFmtId="0" fontId="6" fillId="0" borderId="14" xfId="0" applyNumberFormat="1" applyFont="1" applyFill="1" applyBorder="1" applyAlignment="1">
      <x:alignment horizontal="right" vertical="center" wrapText="1"/>
    </x:xf>
    <x:xf numFmtId="0" fontId="6" fillId="0" borderId="17" xfId="0" applyNumberFormat="1" applyFont="1" applyFill="1" applyBorder="1" applyAlignment="1">
      <x:alignment horizontal="righ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right"/>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horizontal="right"/>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right" wrapText="1"/>
    </x:xf>
    <x:xf numFmtId="0" fontId="4" fillId="7" borderId="0" xfId="0" applyNumberFormat="1" applyFont="1" applyFill="1" applyBorder="1" applyAlignment="1">
      <x:alignment horizontal="right" vertical="top" wrapText="1"/>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wrapText="1"/>
    </x:xf>
    <x:xf numFmtId="0" fontId="4" fillId="7" borderId="1" xfId="0" applyNumberFormat="1" applyFont="1" applyFill="1" applyBorder="1" applyAlignment="1">
      <x:alignment horizontal="right" wrapText="1"/>
    </x:xf>
    <x:xf numFmtId="0" fontId="4" fillId="7" borderId="1" xfId="0" applyNumberFormat="1" applyFont="1" applyFill="1" applyBorder="1" applyAlignment="1">
      <x:alignment horizontal="right" vertical="top" wrapText="1"/>
    </x:xf>
    <x:xf numFmtId="0" fontId="0" fillId="5" borderId="0" xfId="0" applyNumberFormat="1" applyFont="1" applyFill="1" applyBorder="1"/>
    <x:xf numFmtId="0" fontId="5" fillId="5" borderId="0" xfId="0" applyNumberFormat="1" applyFont="1" applyFill="1" applyBorder="1"/>
    <x:xf numFmtId="0" fontId="5" fillId="5" borderId="18" xfId="0" applyNumberFormat="1" applyFont="1" applyFill="1" applyBorder="1"/>
    <x:xf numFmtId="0" fontId="5" fillId="5" borderId="19" xfId="0" applyNumberFormat="1" applyFont="1" applyFill="1" applyBorder="1"/>
    <x:xf numFmtId="0" fontId="5" fillId="5" borderId="20" xfId="0" applyNumberFormat="1" applyFont="1" applyFill="1" applyBorder="1"/>
    <x:xf numFmtId="0" fontId="5" fillId="5" borderId="18" xfId="0" applyNumberFormat="1" applyFont="1" applyFill="1" applyBorder="1" applyAlignment="1">
      <x:alignment wrapText="1"/>
    </x:xf>
    <x:xf numFmtId="0" fontId="5" fillId="5" borderId="19" xfId="0" applyNumberFormat="1" applyFont="1" applyFill="1" applyBorder="1" applyAlignment="1">
      <x:alignment wrapText="1"/>
    </x:xf>
    <x:xf numFmtId="0" fontId="5" fillId="5" borderId="20" xfId="0" applyNumberFormat="1" applyFont="1" applyFill="1" applyBorder="1" applyAlignment="1">
      <x:alignment wrapText="1"/>
    </x:xf>
    <x:xf numFmtId="0" fontId="5" fillId="5" borderId="18" xfId="0" applyNumberFormat="1" applyFont="1" applyFill="1" applyBorder="1" applyAlignment="1">
      <x:alignment horizontal="center" wrapText="1"/>
    </x:xf>
    <x:xf numFmtId="0" fontId="5" fillId="5" borderId="19" xfId="0" applyNumberFormat="1" applyFont="1" applyFill="1" applyBorder="1" applyAlignment="1">
      <x:alignment horizontal="center" wrapText="1"/>
    </x:xf>
    <x:xf numFmtId="0" fontId="5" fillId="5" borderId="20" xfId="0" applyNumberFormat="1" applyFont="1" applyFill="1" applyBorder="1" applyAlignment="1">
      <x:alignment horizontal="center" wrapText="1"/>
    </x:xf>
    <x:xf numFmtId="0" fontId="5" fillId="5" borderId="18" xfId="0" applyNumberFormat="1" applyFont="1" applyFill="1" applyBorder="1" applyAlignment="1">
      <x:alignment horizontal="center" vertical="center" wrapText="1"/>
    </x:xf>
    <x:xf numFmtId="0" fontId="5" fillId="5" borderId="19" xfId="0" applyNumberFormat="1" applyFont="1" applyFill="1" applyBorder="1" applyAlignment="1">
      <x:alignment horizontal="center" vertical="center" wrapText="1"/>
    </x:xf>
    <x:xf numFmtId="0" fontId="5" fillId="5" borderId="20"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21" xfId="0" applyNumberFormat="1" applyFont="1" applyFill="1" applyBorder="1"/>
    <x:xf numFmtId="0" fontId="5" fillId="5" borderId="22" xfId="0" applyNumberFormat="1" applyFont="1" applyFill="1" applyBorder="1"/>
    <x:xf numFmtId="0" fontId="5" fillId="5" borderId="23" xfId="0" applyNumberFormat="1" applyFont="1" applyFill="1" applyBorder="1"/>
    <x:xf numFmtId="0" fontId="5" fillId="5" borderId="21" xfId="0" applyNumberFormat="1" applyFont="1" applyFill="1" applyBorder="1" applyAlignment="1">
      <x:alignment wrapText="1"/>
    </x:xf>
    <x:xf numFmtId="0" fontId="5" fillId="5" borderId="22" xfId="0" applyNumberFormat="1" applyFont="1" applyFill="1" applyBorder="1" applyAlignment="1">
      <x:alignment wrapText="1"/>
    </x:xf>
    <x:xf numFmtId="0" fontId="5" fillId="5" borderId="23" xfId="0" applyNumberFormat="1" applyFont="1" applyFill="1" applyBorder="1" applyAlignment="1">
      <x:alignment wrapText="1"/>
    </x:xf>
    <x:xf numFmtId="0" fontId="5" fillId="5" borderId="21" xfId="0" applyNumberFormat="1" applyFont="1" applyFill="1" applyBorder="1" applyAlignment="1">
      <x:alignment horizontal="center" wrapText="1"/>
    </x:xf>
    <x:xf numFmtId="0" fontId="5" fillId="5" borderId="22" xfId="0" applyNumberFormat="1" applyFont="1" applyFill="1" applyBorder="1" applyAlignment="1">
      <x:alignment horizontal="center" wrapText="1"/>
    </x:xf>
    <x:xf numFmtId="0" fontId="5" fillId="5" borderId="23" xfId="0" applyNumberFormat="1" applyFont="1" applyFill="1" applyBorder="1" applyAlignment="1">
      <x:alignment horizontal="center" wrapText="1"/>
    </x:xf>
    <x:xf numFmtId="0" fontId="5" fillId="5" borderId="21" xfId="0" applyNumberFormat="1" applyFont="1" applyFill="1" applyBorder="1" applyAlignment="1">
      <x:alignment horizontal="center" vertical="center" wrapText="1"/>
    </x:xf>
    <x:xf numFmtId="0" fontId="5" fillId="5" borderId="22" xfId="0" applyNumberFormat="1" applyFont="1" applyFill="1" applyBorder="1" applyAlignment="1">
      <x:alignment horizontal="center" vertical="center" wrapText="1"/>
    </x:xf>
    <x:xf numFmtId="0" fontId="5" fillId="5" borderId="23"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0" xfId="0" applyNumberFormat="1" applyFont="1" applyFill="1" applyBorder="1" applyAlignment="1">
      <x:alignment horizontal="center" vertical="center" wrapText="1"/>
    </x:xf>
    <x:xf numFmtId="0" fontId="4" fillId="0" borderId="8"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 xfId="0" applyNumberFormat="1" applyFont="1" applyFill="1" applyBorder="1" applyAlignment="1">
      <x:alignment horizontal="center" vertical="center" wrapText="1"/>
    </x:xf>
    <x:xf numFmtId="0" fontId="4" fillId="0" borderId="16"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0" fontId="5" fillId="4" borderId="0" xfId="0" applyNumberFormat="1" applyFont="1" applyFill="1" applyBorder="1" applyAlignment="1">
      <x:alignment horizontal="center"/>
    </x:xf>
    <x:xf numFmtId="20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200" fontId="5" fillId="4" borderId="0" xfId="0" applyNumberFormat="1" applyFont="1" applyFill="1" applyBorder="1" applyAlignment="1">
      <x:alignment horizontal="center" vertical="center"/>
    </x:xf>
    <x:xf numFmtId="200" fontId="0" fillId="4" borderId="1" xfId="0" applyNumberFormat="1" applyFont="1" applyFill="1" applyBorder="1"/>
    <x:xf numFmtId="0" fontId="5" fillId="4" borderId="1" xfId="0" applyNumberFormat="1" applyFont="1" applyFill="1" applyBorder="1"/>
    <x:xf numFmtId="200" fontId="5" fillId="4" borderId="1" xfId="0" applyNumberFormat="1" applyFont="1" applyFill="1" applyBorder="1"/>
    <x:xf numFmtId="0" fontId="5" fillId="4" borderId="1" xfId="0" applyNumberFormat="1" applyFont="1" applyFill="1" applyBorder="1" applyAlignment="1">
      <x:alignment horizontal="center"/>
    </x:xf>
    <x:xf numFmtId="20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200" fontId="5" fillId="4" borderId="1" xfId="0" applyNumberFormat="1" applyFont="1" applyFill="1" applyBorder="1" applyAlignment="1">
      <x:alignment horizontal="center" vertical="center"/>
    </x:xf>
    <x:xf numFmtId="0" fontId="8" fillId="4" borderId="0" xfId="0" applyNumberFormat="1" applyFont="1" applyFill="1" applyBorder="1"/>
    <x:xf numFmtId="200" fontId="8" fillId="4" borderId="0" xfId="0" applyNumberFormat="1" applyFont="1" applyFill="1" applyBorder="1"/>
    <x:xf numFmtId="0" fontId="8" fillId="4" borderId="0" xfId="0" applyNumberFormat="1" applyFont="1" applyFill="1" applyBorder="1" applyAlignment="1">
      <x:alignment horizontal="center"/>
    </x:xf>
    <x:xf numFmtId="20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200" fontId="8" fillId="4" borderId="0" xfId="0" applyNumberFormat="1" applyFont="1" applyFill="1" applyBorder="1" applyAlignment="1">
      <x:alignment horizontal="center" vertical="center"/>
    </x:xf>
    <x:xf numFmtId="0" fontId="8" fillId="4" borderId="1" xfId="0" applyNumberFormat="1" applyFont="1" applyFill="1" applyBorder="1"/>
    <x:xf numFmtId="200" fontId="8" fillId="4" borderId="1" xfId="0" applyNumberFormat="1" applyFont="1" applyFill="1" applyBorder="1"/>
    <x:xf numFmtId="0" fontId="8" fillId="4" borderId="1" xfId="0" applyNumberFormat="1" applyFont="1" applyFill="1" applyBorder="1" applyAlignment="1">
      <x:alignment horizontal="center"/>
    </x:xf>
    <x:xf numFmtId="200" fontId="8" fillId="4" borderId="1" xfId="0" applyNumberFormat="1" applyFont="1" applyFill="1" applyBorder="1" applyAlignment="1">
      <x:alignment horizontal="center"/>
    </x:xf>
    <x:xf numFmtId="0" fontId="8" fillId="4" borderId="1" xfId="0" applyNumberFormat="1" applyFont="1" applyFill="1" applyBorder="1" applyAlignment="1">
      <x:alignment horizontal="center" vertical="center"/>
    </x:xf>
    <x:xf numFmtId="200" fontId="8" fillId="4"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1" fontId="0" fillId="4" borderId="0" xfId="0" applyNumberFormat="1" applyFont="1" applyFill="1" applyBorder="1"/>
    <x:xf numFmtId="0" fontId="9" fillId="4" borderId="0" xfId="0" applyNumberFormat="1" applyFont="1" applyFill="1" applyBorder="1"/>
    <x:xf numFmtId="201" fontId="9" fillId="4" borderId="0" xfId="0" applyNumberFormat="1" applyFont="1" applyFill="1" applyBorder="1"/>
    <x:xf numFmtId="0" fontId="9" fillId="4" borderId="0" xfId="0" applyNumberFormat="1" applyFont="1" applyFill="1" applyBorder="1" applyAlignment="1">
      <x:alignment horizontal="center"/>
    </x:xf>
    <x:xf numFmtId="201" fontId="9" fillId="4" borderId="0" xfId="0" applyNumberFormat="1" applyFont="1" applyFill="1" applyBorder="1" applyAlignment="1">
      <x:alignment horizontal="center"/>
    </x:xf>
    <x:xf numFmtId="0" fontId="9" fillId="4" borderId="0" xfId="0" applyNumberFormat="1" applyFont="1" applyFill="1" applyBorder="1" applyAlignment="1">
      <x:alignment horizontal="center" vertical="center"/>
    </x:xf>
    <x:xf numFmtId="201" fontId="9" fillId="4" borderId="0" xfId="0" applyNumberFormat="1" applyFont="1" applyFill="1" applyBorder="1" applyAlignment="1">
      <x:alignment horizontal="center" vertical="center"/>
    </x:xf>
    <x:xf numFmtId="201" fontId="0" fillId="4" borderId="1" xfId="0" applyNumberFormat="1" applyFont="1" applyFill="1" applyBorder="1"/>
    <x:xf numFmtId="0" fontId="9" fillId="4" borderId="1" xfId="0" applyNumberFormat="1" applyFont="1" applyFill="1" applyBorder="1"/>
    <x:xf numFmtId="201" fontId="9" fillId="4" borderId="1" xfId="0" applyNumberFormat="1" applyFont="1" applyFill="1" applyBorder="1"/>
    <x:xf numFmtId="0" fontId="9" fillId="4" borderId="1" xfId="0" applyNumberFormat="1" applyFont="1" applyFill="1" applyBorder="1" applyAlignment="1">
      <x:alignment horizontal="center"/>
    </x:xf>
    <x:xf numFmtId="201" fontId="9" fillId="4" borderId="1" xfId="0" applyNumberFormat="1" applyFont="1" applyFill="1" applyBorder="1" applyAlignment="1">
      <x:alignment horizontal="center"/>
    </x:xf>
    <x:xf numFmtId="0" fontId="9" fillId="4" borderId="1" xfId="0" applyNumberFormat="1" applyFont="1" applyFill="1" applyBorder="1" applyAlignment="1">
      <x:alignment horizontal="center" vertical="center"/>
    </x:xf>
    <x:xf numFmtId="201" fontId="9" fillId="4" borderId="1" xfId="0" applyNumberFormat="1" applyFont="1" applyFill="1" applyBorder="1" applyAlignment="1">
      <x:alignment horizontal="center" vertical="center"/>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horizontal="center" wrapText="1"/>
    </x:xf>
    <x:xf numFmtId="0" fontId="10" fillId="3" borderId="0" xfId="0" applyNumberFormat="1" applyFont="1" applyFill="1" applyBorder="1" applyAlignment="1">
      <x:alignment horizontal="center"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horizontal="center" wrapText="1"/>
    </x:xf>
    <x:xf numFmtId="0" fontId="10" fillId="3" borderId="1" xfId="0" applyNumberFormat="1" applyFont="1" applyFill="1" applyBorder="1" applyAlignment="1">
      <x:alignment horizontal="center" vertical="center" wrapText="1"/>
    </x:xf>
    <x:xf numFmtId="200" fontId="4" fillId="0" borderId="3" xfId="0" applyNumberFormat="1" applyFont="1" applyFill="1" applyBorder="1" applyAlignment="1">
      <x:alignment horizontal="right" vertical="center" wrapText="1"/>
    </x:xf>
    <x:xf numFmtId="200" fontId="4" fillId="0" borderId="0" xfId="0" applyNumberFormat="1" applyFont="1" applyFill="1" applyBorder="1" applyAlignment="1">
      <x:alignment horizontal="right" vertical="center" wrapText="1"/>
    </x:xf>
    <x:xf numFmtId="200" fontId="4" fillId="0" borderId="8" xfId="0" applyNumberFormat="1" applyFont="1" applyFill="1" applyBorder="1" applyAlignment="1">
      <x:alignment horizontal="right" vertical="center" wrapText="1"/>
    </x:xf>
    <x:xf numFmtId="200" fontId="4" fillId="0" borderId="11" xfId="0" applyNumberFormat="1" applyFont="1" applyFill="1" applyBorder="1" applyAlignment="1">
      <x:alignment horizontal="right" vertical="center" wrapText="1"/>
    </x:xf>
    <x:xf numFmtId="200" fontId="4" fillId="0" borderId="1" xfId="0" applyNumberFormat="1" applyFont="1" applyFill="1" applyBorder="1" applyAlignment="1">
      <x:alignment horizontal="right" vertical="center" wrapText="1"/>
    </x:xf>
    <x:xf numFmtId="200" fontId="4" fillId="0" borderId="16" xfId="0" applyNumberFormat="1" applyFont="1" applyFill="1" applyBorder="1" applyAlignment="1">
      <x:alignment horizontal="right" vertical="center" wrapText="1"/>
    </x:xf>
    <x:xf numFmtId="202" fontId="4" fillId="0" borderId="4" xfId="0" applyNumberFormat="1" applyFont="1" applyFill="1" applyBorder="1" applyAlignment="1">
      <x:alignment horizontal="right" vertical="center" wrapText="1"/>
    </x:xf>
    <x:xf numFmtId="202" fontId="4" fillId="0" borderId="6" xfId="0" applyNumberFormat="1" applyFont="1" applyFill="1" applyBorder="1" applyAlignment="1">
      <x:alignment horizontal="right" vertical="center" wrapText="1"/>
    </x:xf>
    <x:xf numFmtId="202" fontId="4" fillId="0" borderId="9" xfId="0" applyNumberFormat="1" applyFont="1" applyFill="1" applyBorder="1" applyAlignment="1">
      <x:alignment horizontal="right" vertical="center" wrapText="1"/>
    </x:xf>
    <x:xf numFmtId="202" fontId="4" fillId="0" borderId="12" xfId="0" applyNumberFormat="1" applyFont="1" applyFill="1" applyBorder="1" applyAlignment="1">
      <x:alignment horizontal="right" vertical="center" wrapText="1"/>
    </x:xf>
    <x:xf numFmtId="202" fontId="4" fillId="0" borderId="14" xfId="0" applyNumberFormat="1" applyFont="1" applyFill="1" applyBorder="1" applyAlignment="1">
      <x:alignment horizontal="right" vertical="center" wrapText="1"/>
    </x:xf>
    <x:xf numFmtId="202" fontId="4" fillId="0" borderId="17" xfId="0" applyNumberFormat="1" applyFont="1" applyFill="1" applyBorder="1" applyAlignment="1">
      <x:alignment horizontal="right" vertical="center" wrapText="1"/>
    </x:xf>
    <x:xf numFmtId="0" fontId="0" fillId="0" borderId="0" xfId="0" applyNumberFormat="1" applyFont="1" applyFill="1" applyBorder="1"/>
    <x:xf numFmtId="0" fontId="5" fillId="0" borderId="0" xfId="0" applyNumberFormat="1" applyFont="1" applyFill="1" applyBorder="1" applyAlignment="1">
      <x:alignment horizontal="right" vertical="center" wrapText="1"/>
    </x:xf>
    <x:xf numFmtId="0" fontId="5" fillId="5" borderId="0" xfId="0" applyNumberFormat="1" applyFont="1" applyFill="1" applyBorder="1" applyAlignment="1">
      <x:alignment horizontal="right" vertical="center" wrapText="1"/>
    </x:xf>
    <x:xf numFmtId="0" fontId="6" fillId="0" borderId="0" xfId="0" applyNumberFormat="1" applyFont="1" applyFill="1" applyBorder="1" applyAlignment="1">
      <x:alignment horizontal="right" vertical="center"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202" fontId="4" fillId="0" borderId="0" xfId="0" applyNumberFormat="1" applyFont="1" applyFill="1" applyBorder="1" applyAlignment="1">
      <x:alignment horizontal="right" vertical="center" wrapText="1"/>
    </x:xf>
    <x:xf numFmtId="0" fontId="1" fillId="8" borderId="0" xfId="0" applyNumberFormat="1" applyFont="1" applyFill="1" applyBorder="1" applyAlignment="1">
      <x:alignment horizontal="right" vertical="center"/>
    </x:xf>
    <x:xf numFmtId="0" fontId="2" fillId="9" borderId="0" xfId="0" applyNumberFormat="1" applyFont="1" applyFill="1" applyBorder="1" applyAlignment="1">
      <x:alignment horizontal="right" vertical="center" wrapText="1"/>
    </x:xf>
    <x:xf numFmtId="0" fontId="5" fillId="10" borderId="18" xfId="0" applyNumberFormat="1" applyFont="1" applyFill="1" applyBorder="1" applyAlignment="1">
      <x:alignment horizontal="center" vertical="center" wrapText="1"/>
    </x:xf>
    <x:xf numFmtId="0" fontId="5" fillId="10" borderId="19" xfId="0" applyNumberFormat="1" applyFont="1" applyFill="1" applyBorder="1" applyAlignment="1">
      <x:alignment horizontal="center" vertical="center" wrapText="1"/>
    </x:xf>
    <x:xf numFmtId="0" fontId="5" fillId="10" borderId="20" xfId="0" applyNumberFormat="1" applyFont="1" applyFill="1" applyBorder="1" applyAlignment="1">
      <x:alignment horizontal="center" vertical="center" wrapText="1"/>
    </x:xf>
    <x:xf numFmtId="0" fontId="5" fillId="10" borderId="0" xfId="0" applyNumberFormat="1" applyFont="1" applyFill="1" applyBorder="1" applyAlignment="1">
      <x:alignment horizontal="center" vertical="center" wrapText="1"/>
    </x:xf>
    <x:xf numFmtId="0" fontId="4" fillId="11" borderId="2" xfId="0" applyNumberFormat="1" applyFont="1" applyFill="1" applyBorder="1" applyAlignment="1">
      <x:alignment horizontal="right" vertical="center" wrapText="1"/>
    </x:xf>
    <x:xf numFmtId="0" fontId="4" fillId="11" borderId="3" xfId="0" applyNumberFormat="1" applyFont="1" applyFill="1" applyBorder="1" applyAlignment="1">
      <x:alignment horizontal="right" vertical="center" wrapText="1"/>
    </x:xf>
    <x:xf numFmtId="0" fontId="4" fillId="11" borderId="4" xfId="0" applyNumberFormat="1" applyFont="1" applyFill="1" applyBorder="1" applyAlignment="1">
      <x:alignment horizontal="right" vertical="center" wrapText="1"/>
    </x:xf>
    <x:xf numFmtId="0" fontId="11" fillId="11" borderId="2" xfId="0" applyNumberFormat="1" applyFont="1" applyFill="1" applyBorder="1" applyAlignment="1">
      <x:alignment horizontal="right" vertical="center" wrapText="1"/>
    </x:xf>
    <x:xf numFmtId="0" fontId="11" fillId="11" borderId="3" xfId="0" applyNumberFormat="1" applyFont="1" applyFill="1" applyBorder="1" applyAlignment="1">
      <x:alignment horizontal="right" vertical="center" wrapText="1"/>
    </x:xf>
    <x:xf numFmtId="0" fontId="11" fillId="11" borderId="4" xfId="0" applyNumberFormat="1" applyFont="1" applyFill="1" applyBorder="1" applyAlignment="1">
      <x:alignment horizontal="right" vertical="center" wrapText="1"/>
    </x:xf>
    <x:xf numFmtId="0" fontId="4" fillId="11" borderId="0" xfId="0" applyNumberFormat="1" applyFont="1" applyFill="1" applyBorder="1" applyAlignment="1">
      <x:alignment horizontal="right" vertical="center" wrapText="1"/>
    </x:xf>
    <x:xf numFmtId="0" fontId="11" fillId="11" borderId="0" xfId="0" applyNumberFormat="1" applyFont="1" applyFill="1" applyBorder="1" applyAlignment="1">
      <x:alignment horizontal="right" vertical="center" wrapText="1"/>
    </x:xf>
    <x:xf numFmtId="0" fontId="4" fillId="0" borderId="24" xfId="0" applyNumberFormat="1" applyFont="1" applyFill="1" applyBorder="1" applyAlignment="1">
      <x:alignment horizontal="right" vertical="center" wrapText="1"/>
    </x:xf>
    <x:xf numFmtId="0" fontId="4" fillId="0" borderId="25" xfId="0" applyNumberFormat="1" applyFont="1" applyFill="1" applyBorder="1" applyAlignment="1">
      <x:alignment horizontal="right" vertical="center" wrapText="1"/>
    </x:xf>
    <x:xf numFmtId="0" fontId="4" fillId="0" borderId="26" xfId="0" applyNumberFormat="1" applyFont="1" applyFill="1" applyBorder="1" applyAlignment="1">
      <x:alignment horizontal="right" vertical="center" wrapText="1"/>
    </x:xf>
    <x:xf numFmtId="0" fontId="4" fillId="0" borderId="27" xfId="0" applyNumberFormat="1" applyFont="1" applyFill="1" applyBorder="1" applyAlignment="1">
      <x:alignment horizontal="right" vertical="center" wrapText="1"/>
    </x:xf>
    <x:xf numFmtId="0" fontId="4" fillId="0" xfId="0" applyNumberFormat="1" applyFont="1" applyFill="1" applyBorder="0" applyAlignment="1">
      <x:alignment horizontal="right" vertical="center" wrapText="1"/>
    </x:xf>
    <x:xf numFmtId="0" fontId="4" fillId="0" borderId="28" xfId="0" applyNumberFormat="1" applyFont="1" applyFill="1" applyBorder="1" applyAlignment="1">
      <x:alignment horizontal="right" vertical="center" wrapText="1"/>
    </x:xf>
    <x:xf numFmtId="0" fontId="4" fillId="0" borderId="29" xfId="0" applyNumberFormat="1" applyFont="1" applyFill="1" applyBorder="1" applyAlignment="1">
      <x:alignment horizontal="right" vertical="center" wrapText="1"/>
    </x:xf>
    <x:xf numFmtId="0" fontId="4" fillId="0" borderId="30" xfId="0" applyNumberFormat="1" applyFont="1" applyFill="1" applyBorder="1" applyAlignment="1">
      <x:alignment horizontal="right" vertical="center" wrapText="1"/>
    </x:xf>
    <x:xf numFmtId="0" fontId="4" fillId="0" borderId="31" xfId="0" applyNumberFormat="1" applyFont="1" applyFill="1" applyBorder="1" applyAlignment="1">
      <x:alignment horizontal="right" vertical="center" wrapText="1"/>
    </x:xf>
    <x:xf numFmtId="203" fontId="4" fillId="0" borderId="25" xfId="0" applyNumberFormat="1" applyFont="1" applyFill="1" applyBorder="1" applyAlignment="1">
      <x:alignment horizontal="right" vertical="center" wrapText="1"/>
    </x:xf>
    <x:xf numFmtId="203" fontId="4" fillId="0" xfId="0" applyNumberFormat="1" applyFont="1" applyFill="1" applyBorder="0" applyAlignment="1">
      <x:alignment horizontal="right" vertical="center" wrapText="1"/>
    </x:xf>
    <x:xf numFmtId="203" fontId="4" fillId="0" borderId="30" xfId="0" applyNumberFormat="1" applyFont="1" applyFill="1" applyBorder="1" applyAlignment="1">
      <x:alignment horizontal="right" vertical="center" wrapText="1"/>
    </x:xf>
  </x:cellXfs>
  <x:cellStyles count="1">
    <x:cellStyle name="Normal" xfId="0"/>
  </x:cellStyles>
  <x:dxfs count="8">
    <x:dxf>
      <x:font>
        <x:b/>
        <x:color rgb="FF17603F"/>
      </x:font>
      <x:fill>
        <x:patternFill>
          <x:bgColor rgb="FFE9F6EF"/>
        </x:patternFill>
      </x:fill>
    </x:dxf>
    <x:dxf>
      <x:font>
        <x:b/>
        <x:color rgb="FF9B3A2B"/>
      </x:font>
      <x:fill>
        <x:patternFill>
          <x:bgColor rgb="FFFDF0EC"/>
        </x:patternFill>
      </x:fill>
    </x:dxf>
    <x:dxf>
      <x:font>
        <x:b/>
        <x:color rgb="FF17603F"/>
      </x:font>
      <x:fill>
        <x:patternFill>
          <x:bgColor rgb="FFE9F6EF"/>
        </x:patternFill>
      </x:fill>
    </x:dxf>
    <x:dxf>
      <x:font>
        <x:b/>
        <x:color rgb="FF9B3A2B"/>
      </x:font>
      <x:fill>
        <x:patternFill>
          <x:bgColor rgb="FFFDF0EC"/>
        </x:patternFill>
      </x:fill>
    </x:dxf>
    <x:dxf>
      <x:font>
        <x:b/>
        <x:color rgb="FF17603F"/>
      </x:font>
      <x:fill>
        <x:patternFill>
          <x:bgColor rgb="FFE9F6EF"/>
        </x:patternFill>
      </x:fill>
    </x:dxf>
    <x:dxf>
      <x:font>
        <x:b/>
        <x:color rgb="FF9B3A2B"/>
      </x:font>
      <x:fill>
        <x:patternFill>
          <x:bgColor rgb="FFFDF0EC"/>
        </x:patternFill>
      </x:fill>
    </x:dxf>
    <x:dxf>
      <x:font>
        <x:b/>
        <x:color rgb="FF17603F"/>
      </x:font>
      <x:fill>
        <x:patternFill patternType="solid">
          <x:bgColor rgb="FFE9F6EF"/>
        </x:patternFill>
      </x:fill>
    </x:dxf>
    <x:dxf>
      <x:font>
        <x:b/>
        <x:color rgb="FF9B3A2B"/>
      </x:font>
      <x:fill>
        <x:patternFill patternType="solid">
          <x:bgColor rgb="FFFDF0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929562721947a4" /><Relationship Type="http://schemas.openxmlformats.org/officeDocument/2006/relationships/theme" Target="/xl/theme/theme1.xml" Id="R1be35119fee44d89" /><Relationship Type="http://schemas.openxmlformats.org/officeDocument/2006/relationships/sharedStrings" Target="/xl/sharedStrings.xml" Id="Ref667489f0f04793" /><Relationship Type="http://schemas.openxmlformats.org/officeDocument/2006/relationships/worksheet" Target="/xl/worksheets/sheet1.xml" Id="Rf0ba7ed7e8a84e87" /><Relationship Type="http://schemas.openxmlformats.org/officeDocument/2006/relationships/worksheet" Target="/xl/worksheets/sheet2.xml" Id="Rdb3238bb5f154ef1" /><Relationship Type="http://schemas.openxmlformats.org/officeDocument/2006/relationships/worksheet" Target="/xl/worksheets/sheet3.xml" Id="R7dda018b54fc4d8d" /><Relationship Type="http://schemas.openxmlformats.org/officeDocument/2006/relationships/worksheet" Target="/xl/worksheets/sheet4.xml" Id="R8b56fbed406b48ec" /><Relationship Type="http://schemas.openxmlformats.org/officeDocument/2006/relationships/worksheet" Target="/xl/worksheets/sheet5.xml" Id="Rad8fa2c564c740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48" hidden="0" customWidth="1"/>
    <x:col min="3" max="3" width="30" hidden="0" customWidth="1"/>
    <x:col min="4" max="4" width="14" hidden="0" customWidth="1"/>
    <x:col min="5" max="5" width="14" hidden="0" customWidth="1"/>
    <x:col min="6" max="6" width="14" hidden="0" customWidth="1"/>
  </x:cols>
  <x:sheetData>
    <x:row r="1" ht="34" customHeight="1">
      <x:c r="A1" s="5" t="str">
        <x:v>ملف العمل التنفيذي للمشروع</x:v>
      </x:c>
      <x:c r="B1" s="5"/>
      <x:c r="C1" s="5"/>
      <x:c r="D1" s="5"/>
      <x:c r="E1" s="5"/>
      <x:c r="F1" s="5"/>
    </x:row>
    <x:row r="2" ht="30" customHeight="1">
      <x:c r="A2" s="14" t="str">
        <x:v>أداة داخلية مستقلة لإعداد المشروع ومراجعته من الفكرة حتى الجاهزية والأدلة.</x:v>
      </x:c>
      <x:c r="B2" s="14"/>
      <x:c r="C2" s="14"/>
      <x:c r="D2" s="14"/>
      <x:c r="E2" s="14"/>
      <x:c r="F2" s="14"/>
    </x:row>
    <x:row r="4" ht="28" customHeight="1">
      <x:c r="A4" s="23" t="str">
        <x:v>كيف تستخدم الملف؟</x:v>
      </x:c>
      <x:c r="B4" s="23"/>
      <x:c r="C4" s="23"/>
      <x:c r="D4" s="23"/>
      <x:c r="E4" s="23"/>
      <x:c r="F4" s="23"/>
    </x:row>
    <x:row r="6">
      <x:c r="A6" s="106" t="str">
        <x:v>بطاقة الفكرة</x:v>
      </x:c>
      <x:c r="B6" s="56" t="str">
        <x:v>أدخل بيانات المشروع الأساسية. نسبة الاكتمال والحالة تُحسبان تلقائيًا.</x:v>
      </x:c>
      <x:c r="C6" s="112" t="str">
        <x:v>ورقة: بطاقة الفكرة</x:v>
      </x:c>
    </x:row>
    <x:row r="7">
      <x:c r="A7" s="107" t="str">
        <x:v>مراجعة قبل البدء</x:v>
      </x:c>
      <x:c r="B7" s="59" t="str">
        <x:v>أجب عن قائمة التحقق الداخلية وأرفق الدليل عند الحاجة.</x:v>
      </x:c>
      <x:c r="C7" s="113" t="str">
        <x:v>ورقة: مراجعة قبل البدء</x:v>
      </x:c>
    </x:row>
    <x:row r="8">
      <x:c r="A8" s="107" t="str">
        <x:v>فحص الجاهزية</x:v>
      </x:c>
      <x:c r="B8" s="59" t="str">
        <x:v>قيّم كل معيار من 1 إلى 5. النتيجة الموزونة والحالة النهائية تُحسبان تلقائيًا.</x:v>
      </x:c>
      <x:c r="C8" s="113" t="str">
        <x:v>ورقة: فحص الجاهزية</x:v>
      </x:c>
    </x:row>
    <x:row r="9">
      <x:c r="A9" s="108" t="str">
        <x:v>سجل الأدلة</x:v>
      </x:c>
      <x:c r="B9" s="62" t="str">
        <x:v>سجل الأدلة والمصادر والروابط وحالة التحقق والمسؤول عنها.</x:v>
      </x:c>
      <x:c r="C9" s="114" t="str">
        <x:v>ورقة: سجل الأدلة</x:v>
      </x:c>
    </x:row>
    <x:row r="11">
      <x:c r="A11" s="120" t="str">
        <x:v>تنبيه مهم</x:v>
      </x:c>
      <x:c r="B11" s="120"/>
      <x:c r="C11" s="120"/>
      <x:c r="D11" s="120"/>
      <x:c r="E11" s="120"/>
      <x:c r="F11" s="120"/>
    </x:row>
    <x:row r="12">
      <x:c r="A12" s="128" t="str">
        <x:v>هذا الملف أداة عمل داخلية للمراجعة الذاتية. النتائج ليست تقييمًا أو اعتمادًا أو قبولًا من منصة إحسان أو أي جهة مانحة. يعمل الملف محليًا على جهاز المستخدم ولا يرسل البيانات إلى الموقع.</x:v>
      </x:c>
      <x:c r="B12" s="128"/>
      <x:c r="C12" s="128"/>
      <x:c r="D12" s="128"/>
      <x:c r="E12" s="128"/>
      <x:c r="F12" s="128"/>
    </x:row>
    <x:row r="13">
      <x:c r="A13" s="128"/>
      <x:c r="B13" s="128"/>
      <x:c r="C13" s="128"/>
      <x:c r="D13" s="128"/>
      <x:c r="E13" s="128"/>
      <x:c r="F13" s="128"/>
    </x:row>
    <x:row r="14">
      <x:c r="A14" s="128"/>
      <x:c r="B14" s="128"/>
      <x:c r="C14" s="128"/>
      <x:c r="D14" s="128"/>
      <x:c r="E14" s="128"/>
      <x:c r="F14" s="128"/>
    </x:row>
  </x:sheetData>
  <x:mergeCells>
    <x:mergeCell ref="A1:F1"/>
    <x:mergeCell ref="A2:F2"/>
    <x:mergeCell ref="A4:F4"/>
    <x:mergeCell ref="A11:F11"/>
    <x:mergeCell ref="A12:F14"/>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4" hidden="0" customWidth="1"/>
    <x:col min="3" max="3" width="16" hidden="0" customWidth="1"/>
    <x:col min="4" max="4" width="38" hidden="0" customWidth="1"/>
  </x:cols>
  <x:sheetData>
    <x:row r="1" ht="34" customHeight="1">
      <x:c r="A1" s="5" t="str">
        <x:v>بطاقة الفكرة</x:v>
      </x:c>
      <x:c r="B1" s="5"/>
      <x:c r="C1" s="5"/>
      <x:c r="D1" s="5"/>
    </x:row>
    <x:row r="2" ht="30" customHeight="1">
      <x:c r="A2" s="14" t="str">
        <x:v>أدخل البيانات في العمود الأوسط؛ ستظهر حالة كل حقل ونسبة الاكتمال تلقائيًا.</x:v>
      </x:c>
      <x:c r="B2" s="14"/>
      <x:c r="C2" s="14"/>
      <x:c r="D2" s="14"/>
    </x:row>
    <x:row r="4" ht="28" customHeight="1">
      <x:c r="A4" s="145" t="str">
        <x:v>الحقل</x:v>
      </x:c>
      <x:c r="B4" s="146" t="str">
        <x:v>المدخل</x:v>
      </x:c>
      <x:c r="C4" s="146" t="str">
        <x:v>الحالة</x:v>
      </x:c>
      <x:c r="D4" s="147" t="str">
        <x:v>ملاحظة</x:v>
      </x:c>
    </x:row>
    <x:row r="5">
      <x:c r="A5" s="55" t="str">
        <x:v>اسم الفرصة</x:v>
      </x:c>
      <x:c r="B5" s="56" t="str"/>
      <x:c r="C5" s="162" t="str">
        <x:f>IF(B5&lt;&gt;"","مكتمل","ناقص")</x:f>
        <x:v>ناقص</x:v>
      </x:c>
      <x:c r="D5" s="57" t="str">
        <x:v>اسم الفرصة المرتبطة بالمشروع</x:v>
      </x:c>
    </x:row>
    <x:row r="6">
      <x:c r="A6" s="58" t="str">
        <x:v>اسم الفكرة</x:v>
      </x:c>
      <x:c r="B6" s="59" t="str"/>
      <x:c r="C6" s="163" t="str">
        <x:f>IF(B6&lt;&gt;"","مكتمل","ناقص")</x:f>
        <x:v>ناقص</x:v>
      </x:c>
      <x:c r="D6" s="60" t="str">
        <x:v>اسم واضح ومباشر للفكرة</x:v>
      </x:c>
    </x:row>
    <x:row r="7">
      <x:c r="A7" s="58" t="str">
        <x:v>المشكلة</x:v>
      </x:c>
      <x:c r="B7" s="59" t="str"/>
      <x:c r="C7" s="163" t="str">
        <x:f>IF(B7&lt;&gt;"","مكتمل","ناقص")</x:f>
        <x:v>ناقص</x:v>
      </x:c>
      <x:c r="D7" s="60" t="str">
        <x:v>وصف المشكلة أو فجوة الاحتياج</x:v>
      </x:c>
    </x:row>
    <x:row r="8">
      <x:c r="A8" s="58" t="str">
        <x:v>الفئة المستهدفة</x:v>
      </x:c>
      <x:c r="B8" s="59" t="str"/>
      <x:c r="C8" s="163" t="str">
        <x:f>IF(B8&lt;&gt;"","مكتمل","ناقص")</x:f>
        <x:v>ناقص</x:v>
      </x:c>
      <x:c r="D8" s="60" t="str">
        <x:v>الفئة وشروط الاستحقاق الأساسية</x:v>
      </x:c>
    </x:row>
    <x:row r="9">
      <x:c r="A9" s="58" t="str">
        <x:v>حجم الاحتياج</x:v>
      </x:c>
      <x:c r="B9" s="59" t="str"/>
      <x:c r="C9" s="163" t="str">
        <x:f>IF(B9&lt;&gt;"","مكتمل","ناقص")</x:f>
        <x:v>ناقص</x:v>
      </x:c>
      <x:c r="D9" s="60" t="str">
        <x:v>عدد/حجم/نطاق الاحتياج</x:v>
      </x:c>
    </x:row>
    <x:row r="10">
      <x:c r="A10" s="58" t="str">
        <x:v>الحل المقترح</x:v>
      </x:c>
      <x:c r="B10" s="59" t="str"/>
      <x:c r="C10" s="163" t="str">
        <x:f>IF(B10&lt;&gt;"","مكتمل","ناقص")</x:f>
        <x:v>ناقص</x:v>
      </x:c>
      <x:c r="D10" s="60" t="str">
        <x:v>كيف سيعالج المشروع المشكلة</x:v>
      </x:c>
    </x:row>
    <x:row r="11">
      <x:c r="A11" s="58" t="str">
        <x:v>النتيجة المتوقعة</x:v>
      </x:c>
      <x:c r="B11" s="59" t="str"/>
      <x:c r="C11" s="163" t="str">
        <x:f>IF(B11&lt;&gt;"","مكتمل","ناقص")</x:f>
        <x:v>ناقص</x:v>
      </x:c>
      <x:c r="D11" s="60" t="str">
        <x:v>التغير المتوقع بعد التنفيذ</x:v>
      </x:c>
    </x:row>
    <x:row r="12">
      <x:c r="A12" s="58" t="str">
        <x:v>تقدير أولي للتكلفة</x:v>
      </x:c>
      <x:c r="B12" s="59" t="str"/>
      <x:c r="C12" s="163" t="str">
        <x:f>IF(B12&lt;&gt;"","مكتمل","ناقص")</x:f>
        <x:v>ناقص</x:v>
      </x:c>
      <x:c r="D12" s="60" t="str">
        <x:v>تقدير أولي قبل دراسة السوق</x:v>
      </x:c>
    </x:row>
    <x:row r="13">
      <x:c r="A13" s="58" t="str">
        <x:v>المخاطر الأولية</x:v>
      </x:c>
      <x:c r="B13" s="59" t="str"/>
      <x:c r="C13" s="163" t="str">
        <x:f>IF(B13&lt;&gt;"","مكتمل","ناقص")</x:f>
        <x:v>ناقص</x:v>
      </x:c>
      <x:c r="D13" s="60" t="str">
        <x:v>أبرز المخاطر المتوقعة</x:v>
      </x:c>
    </x:row>
    <x:row r="14">
      <x:c r="A14" s="61" t="str">
        <x:v>مصدر البيانات</x:v>
      </x:c>
      <x:c r="B14" s="62" t="str"/>
      <x:c r="C14" s="164" t="str">
        <x:f>IF(B14&lt;&gt;"","مكتمل","ناقص")</x:f>
        <x:v>ناقص</x:v>
      </x:c>
      <x:c r="D14" s="63" t="str">
        <x:v>المصدر الذي يدعم المشكلة والأرقام</x:v>
      </x:c>
    </x:row>
    <x:row r="16">
      <x:c r="A16" s="175" t="str">
        <x:v>نسبة اكتمال بطاقة الفكرة</x:v>
      </x:c>
      <x:c r="B16" s="175"/>
      <x:c r="C16" s="176" t="n">
        <x:f>COUNTIF(C5:C14,"مكتمل")/COUNTA(A5:A14)</x:f>
        <x:v>0</x:v>
      </x:c>
      <x:c r="D16" s="175" t="str">
        <x:f>IF(C16=1,"مكتملة",IF(C16&gt;=0.7,"قريبة من الاكتمال","تحتاج استكمال"))</x:f>
        <x:v>تحتاج استكمال</x:v>
      </x:c>
    </x:row>
  </x:sheetData>
  <x:mergeCells>
    <x:mergeCell ref="A1:D1"/>
    <x:mergeCell ref="A2:D2"/>
    <x:mergeCell ref="A16:B16"/>
  </x:mergeCells>
  <x:conditionalFormatting sqref="C5:C14">
    <x:cfRule type="expression" dxfId="0" priority="1">
      <x:formula>C5="مكتمل"</x:formula>
    </x:cfRule>
    <x:cfRule type="expression" dxfId="1" priority="2">
      <x:formula>C5="ناقص"</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42" hidden="0" customWidth="1"/>
    <x:col min="2" max="2" width="16" hidden="0" customWidth="1"/>
    <x:col min="3" max="3" width="38" hidden="0" customWidth="1"/>
    <x:col min="4" max="4" width="22" hidden="0" customWidth="1"/>
    <x:col min="5" max="5" width="24" hidden="0" customWidth="1"/>
  </x:cols>
  <x:sheetData>
    <x:row r="1" ht="34" customHeight="1">
      <x:c r="A1" s="5" t="str">
        <x:v>مراجعة داخلية قبل بدء المشروع</x:v>
      </x:c>
      <x:c r="B1" s="5"/>
      <x:c r="C1" s="5"/>
      <x:c r="D1" s="5"/>
      <x:c r="E1" s="5"/>
    </x:row>
    <x:row r="2" ht="30" customHeight="1">
      <x:c r="A2" s="14" t="str">
        <x:v>قائمة تحقق داخلية وليست موافقة أو اعتمادًا من أي جهة خارجية.</x:v>
      </x:c>
      <x:c r="B2" s="14"/>
      <x:c r="C2" s="14"/>
      <x:c r="D2" s="14"/>
      <x:c r="E2" s="14"/>
    </x:row>
    <x:row r="4" ht="28" customHeight="1">
      <x:c r="A4" s="145" t="str">
        <x:v>السؤال</x:v>
      </x:c>
      <x:c r="B4" s="146" t="str">
        <x:v>الإجابة</x:v>
      </x:c>
      <x:c r="C4" s="146" t="str">
        <x:v>الدليل / المرجع</x:v>
      </x:c>
      <x:c r="D4" s="146" t="str">
        <x:v>المسؤول</x:v>
      </x:c>
      <x:c r="E4" s="147" t="str">
        <x:v>الحالة</x:v>
      </x:c>
    </x:row>
    <x:row r="5">
      <x:c r="A5" s="55" t="str">
        <x:v>هل الفرصة متاحة وقت التقديم؟</x:v>
      </x:c>
      <x:c r="B5" s="56" t="str"/>
      <x:c r="C5" s="56" t="str"/>
      <x:c r="D5" s="56" t="str"/>
      <x:c r="E5" s="57" t="str">
        <x:f>IF(B5="","بانتظار الإجابة",IF(B5="نعم","مكتمل",IF(B5="غير منطبق","غير منطبق","يتطلب معالجة")))</x:f>
        <x:v>بانتظار الإجابة</x:v>
      </x:c>
    </x:row>
    <x:row r="6">
      <x:c r="A6" s="58" t="str">
        <x:v>هل المستفيد/الموقع مؤهل؟</x:v>
      </x:c>
      <x:c r="B6" s="59" t="str"/>
      <x:c r="C6" s="59" t="str"/>
      <x:c r="D6" s="59" t="str"/>
      <x:c r="E6" s="60" t="str">
        <x:f>IF(B6="","بانتظار الإجابة",IF(B6="نعم","مكتمل",IF(B6="غير منطبق","غير منطبق","يتطلب معالجة")))</x:f>
        <x:v>بانتظار الإجابة</x:v>
      </x:c>
    </x:row>
    <x:row r="7">
      <x:c r="A7" s="58" t="str">
        <x:v>هل الحاجة موثقة؟</x:v>
      </x:c>
      <x:c r="B7" s="59" t="str"/>
      <x:c r="C7" s="59" t="str"/>
      <x:c r="D7" s="59" t="str"/>
      <x:c r="E7" s="60" t="str">
        <x:f>IF(B7="","بانتظار الإجابة",IF(B7="نعم","مكتمل",IF(B7="غير منطبق","غير منطبق","يتطلب معالجة")))</x:f>
        <x:v>بانتظار الإجابة</x:v>
      </x:c>
    </x:row>
    <x:row r="8">
      <x:c r="A8" s="58" t="str">
        <x:v>هل توجد موافقات لازمة؟</x:v>
      </x:c>
      <x:c r="B8" s="59" t="str"/>
      <x:c r="C8" s="59" t="str"/>
      <x:c r="D8" s="59" t="str"/>
      <x:c r="E8" s="60" t="str">
        <x:f>IF(B8="","بانتظار الإجابة",IF(B8="نعم","مكتمل",IF(B8="غير منطبق","غير منطبق","يتطلب معالجة")))</x:f>
        <x:v>بانتظار الإجابة</x:v>
      </x:c>
    </x:row>
    <x:row r="9">
      <x:c r="A9" s="58" t="str">
        <x:v>هل الميزانية مدعومة بعروض أو دراسة سوق؟</x:v>
      </x:c>
      <x:c r="B9" s="59" t="str"/>
      <x:c r="C9" s="59" t="str"/>
      <x:c r="D9" s="59" t="str"/>
      <x:c r="E9" s="60" t="str">
        <x:f>IF(B9="","بانتظار الإجابة",IF(B9="نعم","مكتمل",IF(B9="غير منطبق","غير منطبق","يتطلب معالجة")))</x:f>
        <x:v>بانتظار الإجابة</x:v>
      </x:c>
    </x:row>
    <x:row r="10">
      <x:c r="A10" s="58" t="str">
        <x:v>هل المؤشرات قابلة للقياس؟</x:v>
      </x:c>
      <x:c r="B10" s="59" t="str"/>
      <x:c r="C10" s="59" t="str"/>
      <x:c r="D10" s="59" t="str"/>
      <x:c r="E10" s="60" t="str">
        <x:f>IF(B10="","بانتظار الإجابة",IF(B10="نعم","مكتمل",IF(B10="غير منطبق","غير منطبق","يتطلب معالجة")))</x:f>
        <x:v>بانتظار الإجابة</x:v>
      </x:c>
    </x:row>
    <x:row r="11">
      <x:c r="A11" s="58" t="str">
        <x:v>هل توجد جهة تتحمل التشغيل عند الحاجة؟</x:v>
      </x:c>
      <x:c r="B11" s="59" t="str"/>
      <x:c r="C11" s="59" t="str"/>
      <x:c r="D11" s="59" t="str"/>
      <x:c r="E11" s="60" t="str">
        <x:f>IF(B11="","بانتظار الإجابة",IF(B11="نعم","مكتمل",IF(B11="غير منطبق","غير منطبق","يتطلب معالجة")))</x:f>
        <x:v>بانتظار الإجابة</x:v>
      </x:c>
    </x:row>
    <x:row r="12">
      <x:c r="A12" s="61" t="str">
        <x:v>هل مخاطر السلامة مضبوطة؟</x:v>
      </x:c>
      <x:c r="B12" s="62" t="str"/>
      <x:c r="C12" s="62" t="str"/>
      <x:c r="D12" s="62" t="str"/>
      <x:c r="E12" s="63" t="str">
        <x:f>IF(B12="","بانتظار الإجابة",IF(B12="نعم","مكتمل",IF(B12="غير منطبق","غير منطبق","يتطلب معالجة")))</x:f>
        <x:v>بانتظار الإجابة</x:v>
      </x:c>
    </x:row>
    <x:row r="14">
      <x:c r="A14" s="188" t="str">
        <x:v>نسبة البنود المكتملة</x:v>
      </x:c>
      <x:c r="B14" s="188"/>
      <x:c r="C14" s="188"/>
      <x:c r="D14" s="189" t="n">
        <x:f>IFERROR(COUNTIF(E5:E12,"مكتمل")/(COUNTA(A5:A12)-COUNTIF(E5:E12,"غير منطبق")),0)</x:f>
        <x:v>0</x:v>
      </x:c>
      <x:c r="E14" s="188" t="str">
        <x:f>IF(COUNTIF(E5:E12,"يتطلب معالجة")&gt;0,"توجد بنود تتطلب معالجة",IF(D14=1,"مراجعة مكتملة","قيد الاستكمال"))</x:f>
        <x:v>قيد الاستكمال</x:v>
      </x:c>
    </x:row>
  </x:sheetData>
  <x:mergeCells>
    <x:mergeCell ref="A1:E1"/>
    <x:mergeCell ref="A2:E2"/>
    <x:mergeCell ref="A14:C14"/>
  </x:mergeCells>
  <x:conditionalFormatting sqref="E5:E12">
    <x:cfRule type="expression" dxfId="2" priority="1">
      <x:formula>E5="مكتمل"</x:formula>
    </x:cfRule>
    <x:cfRule type="expression" dxfId="3" priority="2">
      <x:formula>E5="يتطلب معالجة"</x:formula>
    </x:cfRule>
  </x:conditionalFormatting>
  <x:dataValidations count="1">
    <x:dataValidation type="list" sqref="B5:B12">
      <x:formula1>"نعم,لا,غير منطبق"</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2" hidden="0" customWidth="1"/>
    <x:col min="3" max="3" width="14" hidden="0" customWidth="1"/>
    <x:col min="4" max="4" width="42" hidden="0" customWidth="1"/>
    <x:col min="5" max="5" width="18" hidden="0" customWidth="1"/>
  </x:cols>
  <x:sheetData>
    <x:row r="1" ht="34" customHeight="1">
      <x:c r="A1" s="5" t="str">
        <x:v>فحص ذاتي لجاهزية المشروع قبل الرفع</x:v>
      </x:c>
      <x:c r="B1" s="5"/>
      <x:c r="C1" s="5"/>
      <x:c r="D1" s="5"/>
      <x:c r="E1" s="5"/>
    </x:row>
    <x:row r="2" ht="30" customHeight="1">
      <x:c r="A2" s="14" t="str">
        <x:v>أدخل درجة من 1 إلى 5 لكل معيار. النتيجة هنا للمراجعة الداخلية فقط.</x:v>
      </x:c>
      <x:c r="B2" s="14"/>
      <x:c r="C2" s="14"/>
      <x:c r="D2" s="14"/>
      <x:c r="E2" s="14"/>
    </x:row>
    <x:row r="4" ht="30" customHeight="1">
      <x:c r="A4" s="203" t="str">
        <x:v>النتيجة الكلية</x:v>
      </x:c>
      <x:c r="B4" s="203"/>
      <x:c r="C4" s="204" t="n">
        <x:f>SUM(E8:E16)</x:f>
        <x:v>0</x:v>
      </x:c>
      <x:c r="D4" s="203" t="str">
        <x:f>IF(C4&gt;=85,"جاهزية مرتفعة",IF(C4&gt;=70,"جيد ويحتاج استكمال محدود",IF(C4&gt;=50,"يحتاج استكمال جوهري","غير جاهز داخليًا")))</x:f>
        <x:v>غير جاهز داخليًا</x:v>
      </x:c>
      <x:c r="E4" s="203"/>
    </x:row>
    <x:row r="6">
      <x:c r="A6" s="215" t="str">
        <x:v>دليل الدرجات</x:v>
      </x:c>
      <x:c r="B6" s="215" t="str">
        <x:v>1 غير متوفر</x:v>
      </x:c>
      <x:c r="C6" s="215" t="str">
        <x:v>2 ضعيف</x:v>
      </x:c>
      <x:c r="D6" s="215" t="str">
        <x:v>3 مقبول ويحتاج استكمال</x:v>
      </x:c>
      <x:c r="E6" s="215" t="str">
        <x:v>4 جيد / 5 مكتمل ومدعوم بدليل</x:v>
      </x:c>
    </x:row>
    <x:row r="7" ht="28" customHeight="1">
      <x:c r="A7" s="145" t="str">
        <x:v>المعيار</x:v>
      </x:c>
      <x:c r="B7" s="146" t="str">
        <x:v>الوزن</x:v>
      </x:c>
      <x:c r="C7" s="146" t="str">
        <x:v>الدرجة 1-5</x:v>
      </x:c>
      <x:c r="D7" s="146" t="str">
        <x:v>الدليل / الملاحظة</x:v>
      </x:c>
      <x:c r="E7" s="147" t="str">
        <x:v>النتيجة الموزونة</x:v>
      </x:c>
    </x:row>
    <x:row r="8">
      <x:c r="A8" s="55" t="str">
        <x:v>وضوح المشكلة</x:v>
      </x:c>
      <x:c r="B8" s="220" t="n">
        <x:v>0.1</x:v>
      </x:c>
      <x:c r="C8" s="56" t="str"/>
      <x:c r="D8" s="56" t="str"/>
      <x:c r="E8" s="226" t="n">
        <x:f>IF(C8="",0,B8*C8/5*100)</x:f>
        <x:v>0</x:v>
      </x:c>
    </x:row>
    <x:row r="9">
      <x:c r="A9" s="58" t="str">
        <x:v>وضوح المستفيد والاستحقاق</x:v>
      </x:c>
      <x:c r="B9" s="221" t="n">
        <x:v>0.1</x:v>
      </x:c>
      <x:c r="C9" s="59" t="str"/>
      <x:c r="D9" s="59" t="str"/>
      <x:c r="E9" s="227" t="n">
        <x:f>IF(C9="",0,B9*C9/5*100)</x:f>
        <x:v>0</x:v>
      </x:c>
    </x:row>
    <x:row r="10">
      <x:c r="A10" s="58" t="str">
        <x:v>جودة التصميم وقابلية القياس</x:v>
      </x:c>
      <x:c r="B10" s="221" t="n">
        <x:v>0.15</x:v>
      </x:c>
      <x:c r="C10" s="59" t="str"/>
      <x:c r="D10" s="59" t="str"/>
      <x:c r="E10" s="227" t="n">
        <x:f>IF(C10="",0,B10*C10/5*100)</x:f>
        <x:v>0</x:v>
      </x:c>
    </x:row>
    <x:row r="11">
      <x:c r="A11" s="58" t="str">
        <x:v>واقعية الميزانية</x:v>
      </x:c>
      <x:c r="B11" s="221" t="n">
        <x:v>0.15</x:v>
      </x:c>
      <x:c r="C11" s="59" t="str"/>
      <x:c r="D11" s="59" t="str"/>
      <x:c r="E11" s="227" t="n">
        <x:f>IF(C11="",0,B11*C11/5*100)</x:f>
        <x:v>0</x:v>
      </x:c>
    </x:row>
    <x:row r="12">
      <x:c r="A12" s="58" t="str">
        <x:v>جودة الشراء والتعاقد</x:v>
      </x:c>
      <x:c r="B12" s="221" t="n">
        <x:v>0.1</x:v>
      </x:c>
      <x:c r="C12" s="59" t="str"/>
      <x:c r="D12" s="59" t="str"/>
      <x:c r="E12" s="227" t="n">
        <x:f>IF(C12="",0,B12*C12/5*100)</x:f>
        <x:v>0</x:v>
      </x:c>
    </x:row>
    <x:row r="13">
      <x:c r="A13" s="58" t="str">
        <x:v>خطة التنفيذ والرقابة</x:v>
      </x:c>
      <x:c r="B13" s="221" t="n">
        <x:v>0.1</x:v>
      </x:c>
      <x:c r="C13" s="59" t="str"/>
      <x:c r="D13" s="59" t="str"/>
      <x:c r="E13" s="227" t="n">
        <x:f>IF(C13="",0,B13*C13/5*100)</x:f>
        <x:v>0</x:v>
      </x:c>
    </x:row>
    <x:row r="14">
      <x:c r="A14" s="58" t="str">
        <x:v>مؤشرات الأثر وخط الأساس</x:v>
      </x:c>
      <x:c r="B14" s="221" t="n">
        <x:v>0.1</x:v>
      </x:c>
      <x:c r="C14" s="59" t="str"/>
      <x:c r="D14" s="59" t="str"/>
      <x:c r="E14" s="227" t="n">
        <x:f>IF(C14="",0,B14*C14/5*100)</x:f>
        <x:v>0</x:v>
      </x:c>
    </x:row>
    <x:row r="15">
      <x:c r="A15" s="58" t="str">
        <x:v>خطة الإغلاق والاستدامة</x:v>
      </x:c>
      <x:c r="B15" s="221" t="n">
        <x:v>0.1</x:v>
      </x:c>
      <x:c r="C15" s="59" t="str"/>
      <x:c r="D15" s="59" t="str"/>
      <x:c r="E15" s="227" t="n">
        <x:f>IF(C15="",0,B15*C15/5*100)</x:f>
        <x:v>0</x:v>
      </x:c>
    </x:row>
    <x:row r="16">
      <x:c r="A16" s="61" t="str">
        <x:v>إدارة المخاطر والخصوصية</x:v>
      </x:c>
      <x:c r="B16" s="222" t="n">
        <x:v>0.1</x:v>
      </x:c>
      <x:c r="C16" s="62" t="str"/>
      <x:c r="D16" s="62" t="str"/>
      <x:c r="E16" s="228" t="n">
        <x:f>IF(C16="",0,B16*C16/5*100)</x:f>
        <x:v>0</x:v>
      </x:c>
    </x:row>
  </x:sheetData>
  <x:mergeCells>
    <x:mergeCell ref="A1:E1"/>
    <x:mergeCell ref="A2:E2"/>
    <x:mergeCell ref="A4:B4"/>
    <x:mergeCell ref="D4:E4"/>
  </x:mergeCells>
  <x:conditionalFormatting sqref="C8:C16">
    <x:cfRule type="colorScale" priority="1">
      <x:colorScale>
        <x:cfvo type="min"/>
        <x:cfvo type="percentile" val="50"/>
        <x:cfvo type="max"/>
        <x:color rgb="FFF9DAD3"/>
        <x:color rgb="FFF7EDBD"/>
        <x:color rgb="FFDCEFE5"/>
      </x:colorScale>
    </x:cfRule>
  </x:conditionalFormatting>
  <x:conditionalFormatting sqref="E8:E16">
    <x:cfRule type="dataBar" priority="2">
      <x:dataBar>
        <x:cfvo type="min"/>
        <x:cfvo type="max"/>
        <x:color rgb="FFA02B93"/>
      </x:dataBar>
      <x:extLst>
        <x:ext xmlns:x14="http://schemas.microsoft.com/office/spreadsheetml/2009/9/main" uri="{B025F937-C7B1-47D3-B67F-A62EFF666E3E}">
          <x14:id>{76A452B7-EF23-A89C-1ED7-058821CEAD2C}</x14:id>
        </x:ext>
      </x:extLst>
    </x:cfRule>
  </x:conditionalFormatting>
  <x:dataValidations count="1">
    <x:dataValidation type="list" sqref="C8:C16">
      <x:formula1>"1,2,3,4,5"</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76A452B7-EF23-A89C-1ED7-058821CEAD2C}">
            <x14:dataBar gradient="1">
              <x14:cfvo type="min"/>
              <x14:cfvo type="max"/>
              <x14:fillColor rgb="FFA02B93"/>
            </x14:dataBar>
          </x14:cfRule>
          <xm:sqref>E8:E16</xm:sqref>
        </x14:conditionalFormatting>
      </x14:conditionalFormattings>
    </x:ext>
  </x:extLst>
</x:worksheet>
</file>

<file path=xl/worksheets/sheet5.xml><?xml version="1.0" encoding="utf-8"?>
<x:worksheet xmlns:x="http://schemas.openxmlformats.org/spreadsheetml/2006/main">
  <x:sheetFormatPr defaultRowHeight="15"/>
  <x:cols>
    <x:col min="1" max="1" width="34" hidden="0" customWidth="1"/>
    <x:col min="2" max="2" width="30" hidden="0" customWidth="1"/>
    <x:col min="3" max="3" width="40" hidden="0" customWidth="1"/>
    <x:col min="4" max="4" width="16" hidden="0" customWidth="1"/>
    <x:col min="5" max="5" width="20" hidden="0" customWidth="1"/>
    <x:col min="6" max="6" width="18" hidden="0" customWidth="1"/>
    <x:col min="7" max="7" width="32" hidden="0" customWidth="1"/>
  </x:cols>
  <x:sheetData>
    <x:row r="1" ht="34" customHeight="1">
      <x:c r="A1" s="240" t="str">
        <x:v>توثيق المعلومات والمصادر</x:v>
      </x:c>
      <x:c r="B1" s="240"/>
      <x:c r="C1" s="240"/>
      <x:c r="D1" s="240"/>
      <x:c r="E1" s="240"/>
      <x:c r="F1" s="240"/>
      <x:c r="G1" s="240"/>
    </x:row>
    <x:row r="2" ht="30" customHeight="1">
      <x:c r="A2" s="241" t="str">
        <x:v>استخدم هذه الورقة لتوثيق الأرقام والمعلومات المهمة في المشروع وربط كل معلومة بالمستند أو الرابط الذي يثبتها.</x:v>
      </x:c>
      <x:c r="B2" s="241"/>
      <x:c r="C2" s="241"/>
      <x:c r="D2" s="241"/>
      <x:c r="E2" s="241"/>
      <x:c r="F2" s="241"/>
      <x:c r="G2" s="241"/>
    </x:row>
    <x:row r="4" ht="30" customHeight="1">
      <x:c r="A4" s="242" t="str">
        <x:v>المعلومة أو الرقم</x:v>
      </x:c>
      <x:c r="B4" s="243" t="str">
        <x:v>ما الذي يثبتها؟</x:v>
      </x:c>
      <x:c r="C4" s="243" t="str">
        <x:v>رابط أو اسم الملف</x:v>
      </x:c>
      <x:c r="D4" s="243" t="str">
        <x:v>آخر مراجعة</x:v>
      </x:c>
      <x:c r="E4" s="243" t="str">
        <x:v>من راجعها؟</x:v>
      </x:c>
      <x:c r="F4" s="243" t="str">
        <x:v>الحالة</x:v>
      </x:c>
      <x:c r="G4" s="244" t="str">
        <x:v>ملاحظات</x:v>
      </x:c>
    </x:row>
    <x:row r="5">
      <x:c r="A5" s="249" t="str">
        <x:v>عدد المستفيدين المستهدف: 120</x:v>
      </x:c>
      <x:c r="B5" s="250" t="str">
        <x:v>كشف مستفيدين أو تقرير احتياج معتمد</x:v>
      </x:c>
      <x:c r="C5" s="250" t="str">
        <x:v>beneficiaries-list.pdf أو رابط الملف</x:v>
      </x:c>
      <x:c r="D5" s="250" t="str"/>
      <x:c r="E5" s="250" t="str"/>
      <x:c r="F5" s="250" t="str">
        <x:v>مثال فقط</x:v>
      </x:c>
      <x:c r="G5" s="251" t="str">
        <x:v>احذف هذا الصف عند بدء الاستخدام</x:v>
      </x:c>
    </x:row>
    <x:row r="6">
      <x:c r="A6" s="254" t="str"/>
      <x:c r="B6" s="255" t="str"/>
      <x:c r="C6" s="255" t="str"/>
      <x:c r="D6" s="263" t="str"/>
      <x:c r="E6" s="255" t="str"/>
      <x:c r="F6" s="255" t="str"/>
      <x:c r="G6" s="256" t="str"/>
    </x:row>
    <x:row r="7">
      <x:c r="A7" s="257" t="str"/>
      <x:c r="B7" s="258" t="str"/>
      <x:c r="C7" s="258" t="str"/>
      <x:c r="D7" s="264" t="str"/>
      <x:c r="E7" s="258" t="str"/>
      <x:c r="F7" s="258" t="str"/>
      <x:c r="G7" s="259" t="str"/>
    </x:row>
    <x:row r="8">
      <x:c r="A8" s="257" t="str"/>
      <x:c r="B8" s="258" t="str"/>
      <x:c r="C8" s="258" t="str"/>
      <x:c r="D8" s="264" t="str"/>
      <x:c r="E8" s="258" t="str"/>
      <x:c r="F8" s="258" t="str"/>
      <x:c r="G8" s="259" t="str"/>
    </x:row>
    <x:row r="9">
      <x:c r="A9" s="257" t="str"/>
      <x:c r="B9" s="258" t="str"/>
      <x:c r="C9" s="258" t="str"/>
      <x:c r="D9" s="264" t="str"/>
      <x:c r="E9" s="258" t="str"/>
      <x:c r="F9" s="258" t="str"/>
      <x:c r="G9" s="259" t="str"/>
    </x:row>
    <x:row r="10">
      <x:c r="A10" s="257" t="str"/>
      <x:c r="B10" s="258" t="str"/>
      <x:c r="C10" s="258" t="str"/>
      <x:c r="D10" s="264" t="str"/>
      <x:c r="E10" s="258" t="str"/>
      <x:c r="F10" s="258" t="str"/>
      <x:c r="G10" s="259" t="str"/>
    </x:row>
    <x:row r="11">
      <x:c r="A11" s="257" t="str"/>
      <x:c r="B11" s="258" t="str"/>
      <x:c r="C11" s="258" t="str"/>
      <x:c r="D11" s="264" t="str"/>
      <x:c r="E11" s="258" t="str"/>
      <x:c r="F11" s="258" t="str"/>
      <x:c r="G11" s="259" t="str"/>
    </x:row>
    <x:row r="12">
      <x:c r="A12" s="257" t="str"/>
      <x:c r="B12" s="258" t="str"/>
      <x:c r="C12" s="258" t="str"/>
      <x:c r="D12" s="264" t="str"/>
      <x:c r="E12" s="258" t="str"/>
      <x:c r="F12" s="258" t="str"/>
      <x:c r="G12" s="259" t="str"/>
    </x:row>
    <x:row r="13">
      <x:c r="A13" s="257" t="str"/>
      <x:c r="B13" s="258" t="str"/>
      <x:c r="C13" s="258" t="str"/>
      <x:c r="D13" s="264" t="str"/>
      <x:c r="E13" s="258" t="str"/>
      <x:c r="F13" s="258" t="str"/>
      <x:c r="G13" s="259" t="str"/>
    </x:row>
    <x:row r="14">
      <x:c r="A14" s="257" t="str"/>
      <x:c r="B14" s="258" t="str"/>
      <x:c r="C14" s="258" t="str"/>
      <x:c r="D14" s="264" t="str"/>
      <x:c r="E14" s="258" t="str"/>
      <x:c r="F14" s="258" t="str"/>
      <x:c r="G14" s="259" t="str"/>
    </x:row>
    <x:row r="15">
      <x:c r="A15" s="257" t="str"/>
      <x:c r="B15" s="258" t="str"/>
      <x:c r="C15" s="258" t="str"/>
      <x:c r="D15" s="264" t="str"/>
      <x:c r="E15" s="258" t="str"/>
      <x:c r="F15" s="258" t="str"/>
      <x:c r="G15" s="259" t="str"/>
    </x:row>
    <x:row r="16">
      <x:c r="A16" s="257" t="str"/>
      <x:c r="B16" s="258" t="str"/>
      <x:c r="C16" s="258" t="str"/>
      <x:c r="D16" s="264" t="str"/>
      <x:c r="E16" s="258" t="str"/>
      <x:c r="F16" s="258" t="str"/>
      <x:c r="G16" s="259" t="str"/>
    </x:row>
    <x:row r="17">
      <x:c r="A17" s="257" t="str"/>
      <x:c r="B17" s="258" t="str"/>
      <x:c r="C17" s="258" t="str"/>
      <x:c r="D17" s="264" t="str"/>
      <x:c r="E17" s="258" t="str"/>
      <x:c r="F17" s="258" t="str"/>
      <x:c r="G17" s="259" t="str"/>
    </x:row>
    <x:row r="18">
      <x:c r="A18" s="257" t="str"/>
      <x:c r="B18" s="258" t="str"/>
      <x:c r="C18" s="258" t="str"/>
      <x:c r="D18" s="264" t="str"/>
      <x:c r="E18" s="258" t="str"/>
      <x:c r="F18" s="258" t="str"/>
      <x:c r="G18" s="259" t="str"/>
    </x:row>
    <x:row r="19">
      <x:c r="A19" s="257" t="str"/>
      <x:c r="B19" s="258" t="str"/>
      <x:c r="C19" s="258" t="str"/>
      <x:c r="D19" s="264" t="str"/>
      <x:c r="E19" s="258" t="str"/>
      <x:c r="F19" s="258" t="str"/>
      <x:c r="G19" s="259" t="str"/>
    </x:row>
    <x:row r="20">
      <x:c r="A20" s="257" t="str"/>
      <x:c r="B20" s="258" t="str"/>
      <x:c r="C20" s="258" t="str"/>
      <x:c r="D20" s="264" t="str"/>
      <x:c r="E20" s="258" t="str"/>
      <x:c r="F20" s="258" t="str"/>
      <x:c r="G20" s="259" t="str"/>
    </x:row>
    <x:row r="21">
      <x:c r="A21" s="257" t="str"/>
      <x:c r="B21" s="258" t="str"/>
      <x:c r="C21" s="258" t="str"/>
      <x:c r="D21" s="264" t="str"/>
      <x:c r="E21" s="258" t="str"/>
      <x:c r="F21" s="258" t="str"/>
      <x:c r="G21" s="259" t="str"/>
    </x:row>
    <x:row r="22">
      <x:c r="A22" s="257" t="str"/>
      <x:c r="B22" s="258" t="str"/>
      <x:c r="C22" s="258" t="str"/>
      <x:c r="D22" s="264" t="str"/>
      <x:c r="E22" s="258" t="str"/>
      <x:c r="F22" s="258" t="str"/>
      <x:c r="G22" s="259" t="str"/>
    </x:row>
    <x:row r="23">
      <x:c r="A23" s="257" t="str"/>
      <x:c r="B23" s="258" t="str"/>
      <x:c r="C23" s="258" t="str"/>
      <x:c r="D23" s="264" t="str"/>
      <x:c r="E23" s="258" t="str"/>
      <x:c r="F23" s="258" t="str"/>
      <x:c r="G23" s="259" t="str"/>
    </x:row>
    <x:row r="24">
      <x:c r="A24" s="257" t="str"/>
      <x:c r="B24" s="258" t="str"/>
      <x:c r="C24" s="258" t="str"/>
      <x:c r="D24" s="264" t="str"/>
      <x:c r="E24" s="258" t="str"/>
      <x:c r="F24" s="258" t="str"/>
      <x:c r="G24" s="259" t="str"/>
    </x:row>
    <x:row r="25">
      <x:c r="A25" s="257" t="str"/>
      <x:c r="B25" s="258" t="str"/>
      <x:c r="C25" s="258" t="str"/>
      <x:c r="D25" s="264" t="str"/>
      <x:c r="E25" s="258" t="str"/>
      <x:c r="F25" s="258" t="str"/>
      <x:c r="G25" s="259" t="str"/>
    </x:row>
    <x:row r="26">
      <x:c r="A26" s="257" t="str"/>
      <x:c r="B26" s="258" t="str"/>
      <x:c r="C26" s="258" t="str"/>
      <x:c r="D26" s="264" t="str"/>
      <x:c r="E26" s="258" t="str"/>
      <x:c r="F26" s="258" t="str"/>
      <x:c r="G26" s="259" t="str"/>
    </x:row>
    <x:row r="27">
      <x:c r="A27" s="257" t="str"/>
      <x:c r="B27" s="258" t="str"/>
      <x:c r="C27" s="258" t="str"/>
      <x:c r="D27" s="264" t="str"/>
      <x:c r="E27" s="258" t="str"/>
      <x:c r="F27" s="258" t="str"/>
      <x:c r="G27" s="259" t="str"/>
    </x:row>
    <x:row r="28">
      <x:c r="A28" s="257" t="str"/>
      <x:c r="B28" s="258" t="str"/>
      <x:c r="C28" s="258" t="str"/>
      <x:c r="D28" s="264" t="str"/>
      <x:c r="E28" s="258" t="str"/>
      <x:c r="F28" s="258" t="str"/>
      <x:c r="G28" s="259" t="str"/>
    </x:row>
    <x:row r="29">
      <x:c r="A29" s="257" t="str"/>
      <x:c r="B29" s="258" t="str"/>
      <x:c r="C29" s="258" t="str"/>
      <x:c r="D29" s="264" t="str"/>
      <x:c r="E29" s="258" t="str"/>
      <x:c r="F29" s="258" t="str"/>
      <x:c r="G29" s="259" t="str"/>
    </x:row>
    <x:row r="30">
      <x:c r="A30" s="257" t="str"/>
      <x:c r="B30" s="258" t="str"/>
      <x:c r="C30" s="258" t="str"/>
      <x:c r="D30" s="264" t="str"/>
      <x:c r="E30" s="258" t="str"/>
      <x:c r="F30" s="258" t="str"/>
      <x:c r="G30" s="259" t="str"/>
    </x:row>
    <x:row r="31">
      <x:c r="A31" s="257" t="str"/>
      <x:c r="B31" s="258" t="str"/>
      <x:c r="C31" s="258" t="str"/>
      <x:c r="D31" s="264" t="str"/>
      <x:c r="E31" s="258" t="str"/>
      <x:c r="F31" s="258" t="str"/>
      <x:c r="G31" s="259" t="str"/>
    </x:row>
    <x:row r="32">
      <x:c r="A32" s="257" t="str"/>
      <x:c r="B32" s="258" t="str"/>
      <x:c r="C32" s="258" t="str"/>
      <x:c r="D32" s="264" t="str"/>
      <x:c r="E32" s="258" t="str"/>
      <x:c r="F32" s="258" t="str"/>
      <x:c r="G32" s="259" t="str"/>
    </x:row>
    <x:row r="33">
      <x:c r="A33" s="257" t="str"/>
      <x:c r="B33" s="258" t="str"/>
      <x:c r="C33" s="258" t="str"/>
      <x:c r="D33" s="264" t="str"/>
      <x:c r="E33" s="258" t="str"/>
      <x:c r="F33" s="258" t="str"/>
      <x:c r="G33" s="259" t="str"/>
    </x:row>
    <x:row r="34">
      <x:c r="A34" s="260" t="str"/>
      <x:c r="B34" s="261" t="str"/>
      <x:c r="C34" s="261" t="str"/>
      <x:c r="D34" s="265" t="str"/>
      <x:c r="E34" s="261" t="str"/>
      <x:c r="F34" s="261" t="str"/>
      <x:c r="G34" s="262" t="str"/>
    </x:row>
  </x:sheetData>
  <x:mergeCells>
    <x:mergeCell ref="A1:G1"/>
    <x:mergeCell ref="A2:G2"/>
  </x:mergeCells>
  <x:conditionalFormatting sqref="F5:F34">
    <x:cfRule type="expression" dxfId="4" priority="1">
      <x:formula>F5="تم التحقق"</x:formula>
    </x:cfRule>
    <x:cfRule type="expression" dxfId="5" priority="2">
      <x:formula>F5="يحتاج تحديث"</x:formula>
    </x:cfRule>
  </x:conditionalFormatting>
  <x:conditionalFormatting sqref="F6:F34">
    <x:cfRule type="expression" dxfId="6" priority="3">
      <x:formula>F6="تم التحقق"</x:formula>
    </x:cfRule>
    <x:cfRule type="expression" dxfId="7" priority="4">
      <x:formula>F6="يحتاج تحديث"</x:formula>
    </x:cfRule>
  </x:conditionalFormatting>
  <x:dataValidations count="4">
    <x:dataValidation type="list" sqref="C5:C34">
      <x:formula1>"مصدر رسمي,وثيقة داخلية,عرض سعر,عقد,فاتورة,محضر,صورة,رابط/مصدر عام,أخرى"</x:formula1>
    </x:dataValidation>
    <x:dataValidation type="list" sqref="F5:F34">
      <x:formula1>"لم يبدأ,قيد التحقق,تم التحقق,يحتاج تحديث"</x:formula1>
    </x:dataValidation>
    <x:dataValidation type="list" sqref="B6:B34">
      <x:formula1>"مصدر رسمي,وثيقة داخلية,عرض سعر,عقد,فاتورة,محضر,صورة,تقرير,رابط إلكتروني,أخرى"</x:formula1>
    </x:dataValidation>
    <x:dataValidation type="list" sqref="F6:F34">
      <x:formula1>"لم يراجع,قيد المراجعة,تم التحقق,يحتاج تحديث"</x:formula1>
    </x:dataValidation>
  </x:dataValidations>
  <x:pageMargins left="0.7" right="0.7" top="0.75" bottom="0.75" header="0.3" footer="0.3"/>
</x:worksheet>
</file>